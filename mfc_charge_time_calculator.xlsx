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showInkAnnotation="0" autoCompressPictures="0"/>
  <xr:revisionPtr revIDLastSave="135" documentId="11_FD3DECD58921E44A04860117CDC192FBE704FAE9" xr6:coauthVersionLast="47" xr6:coauthVersionMax="47" xr10:uidLastSave="{212FEC4D-1416-470B-B1BB-D6825EB37E89}"/>
  <bookViews>
    <workbookView xWindow="0" yWindow="0" windowWidth="0" windowHeight="0" xr2:uid="{00000000-000D-0000-FFFF-FFFF00000000}"/>
  </bookViews>
  <sheets>
    <sheet name="Charge Calculator" sheetId="1" r:id="rId1"/>
    <sheet name="Assumptions" sheetId="3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B36" i="1"/>
  <c r="B42" i="1"/>
  <c r="B13" i="1"/>
  <c r="B14" i="1"/>
  <c r="B46" i="1"/>
  <c r="B26" i="1"/>
  <c r="B27" i="1" s="1"/>
  <c r="B25" i="1"/>
  <c r="D41" i="1" s="1"/>
  <c r="B23" i="1"/>
  <c r="B24" i="1" s="1"/>
  <c r="B8" i="1"/>
  <c r="B48" i="1" l="1"/>
  <c r="B53" i="1" s="1"/>
  <c r="B54" i="1" s="1"/>
  <c r="B55" i="1" s="1"/>
  <c r="B56" i="1" s="1"/>
  <c r="B28" i="1"/>
  <c r="B45" i="1" l="1"/>
  <c r="B47" i="1" s="1"/>
  <c r="B49" i="1" s="1"/>
  <c r="B52" i="1" s="1"/>
  <c r="B29" i="1"/>
  <c r="D40" i="1" s="1"/>
  <c r="B51" i="1"/>
  <c r="B50" i="1" l="1"/>
</calcChain>
</file>

<file path=xl/sharedStrings.xml><?xml version="1.0" encoding="utf-8"?>
<sst xmlns="http://schemas.openxmlformats.org/spreadsheetml/2006/main" count="185" uniqueCount="145">
  <si>
    <t>MFC Charge-Time Calculator</t>
  </si>
  <si>
    <t>Edit yellow cells. Blue cells are calculated outputs.</t>
  </si>
  <si>
    <t>Determined by</t>
  </si>
  <si>
    <t>Storage and target</t>
  </si>
  <si>
    <t>Target energy to store</t>
  </si>
  <si>
    <t>J</t>
  </si>
  <si>
    <t>Energy you want in the buffer/storage</t>
  </si>
  <si>
    <t>APP</t>
  </si>
  <si>
    <t>Initial stored energy</t>
  </si>
  <si>
    <t>Use 0 for empty storage</t>
  </si>
  <si>
    <t>Usable storage fraction</t>
  </si>
  <si>
    <t>-</t>
  </si>
  <si>
    <t>Fraction of theoretical storage energy that is actually usable</t>
  </si>
  <si>
    <t>Energy to add</t>
  </si>
  <si>
    <t>Computed target energy after initial state and usable fraction</t>
  </si>
  <si>
    <t>Storage Vmax</t>
  </si>
  <si>
    <t>V</t>
  </si>
  <si>
    <t>For optional supercapacitor sizing check</t>
  </si>
  <si>
    <t>CAP</t>
  </si>
  <si>
    <t>Storage Vmin</t>
  </si>
  <si>
    <t xml:space="preserve">Lowest usable voltage of storage </t>
  </si>
  <si>
    <t>Load Vmin</t>
  </si>
  <si>
    <t>Min load voltage (otherwise boosting needed)</t>
  </si>
  <si>
    <t>Load Vmax</t>
  </si>
  <si>
    <t>Max load voltage</t>
  </si>
  <si>
    <t>Usable Vmax</t>
  </si>
  <si>
    <t>Usable Vmin</t>
  </si>
  <si>
    <t>Required capacitance</t>
  </si>
  <si>
    <t>F</t>
  </si>
  <si>
    <t>C = 2E/(Vmax² − Vmin²)</t>
  </si>
  <si>
    <t>MFC array</t>
  </si>
  <si>
    <t>Power per MFC at MPP</t>
  </si>
  <si>
    <t>mW</t>
  </si>
  <si>
    <t>Average electrical power per MFC at its maximum power point</t>
  </si>
  <si>
    <t>MFC</t>
  </si>
  <si>
    <t>Voltage per MFC at MPP</t>
  </si>
  <si>
    <t>Needed to estimate array voltage/current and harvester compatibility</t>
  </si>
  <si>
    <t>Declared total MFCs</t>
  </si>
  <si>
    <t>pcs</t>
  </si>
  <si>
    <t>Optional cross-check against series × parallel</t>
  </si>
  <si>
    <t>MFCs in series per string</t>
  </si>
  <si>
    <t>Raises voltage; string current is limited by the weakest cell</t>
  </si>
  <si>
    <t>Parallel strings</t>
  </si>
  <si>
    <t>Raises current; total configured cells = series × parallel</t>
  </si>
  <si>
    <t>Configured MFC count</t>
  </si>
  <si>
    <t>Computed from series × parallel</t>
  </si>
  <si>
    <t>Configuration check</t>
  </si>
  <si>
    <t>Correct this if needed</t>
  </si>
  <si>
    <t>Array MPP voltage</t>
  </si>
  <si>
    <t>Check against harvester input voltage window</t>
  </si>
  <si>
    <t>Single-MFC MPP current</t>
  </si>
  <si>
    <t>mA</t>
  </si>
  <si>
    <t>Because mW/V = mA</t>
  </si>
  <si>
    <t>Array MPP current</t>
  </si>
  <si>
    <t>Parallel strings multiply current</t>
  </si>
  <si>
    <t>Array MPP power</t>
  </si>
  <si>
    <t>Equivalent to configured count × power per MFC</t>
  </si>
  <si>
    <t>Average current to load</t>
  </si>
  <si>
    <t>Harvester and losses</t>
  </si>
  <si>
    <t>Harvester efficiency</t>
  </si>
  <si>
    <t>%</t>
  </si>
  <si>
    <t>End-to-end efficiency from MFC terminals to storage</t>
  </si>
  <si>
    <t>Harvester</t>
  </si>
  <si>
    <t>MFC availability / duty factor</t>
  </si>
  <si>
    <t>Use &lt;100% if the MFC is not producing continuously</t>
  </si>
  <si>
    <t>Environmental derating factor</t>
  </si>
  <si>
    <t>Use &lt;100% for aging, dry periods, temperature, biofilm variability, etc.</t>
  </si>
  <si>
    <t>Harvester quiescent power</t>
  </si>
  <si>
    <t>Always-on consumption of the harvesting IC/control electronics</t>
  </si>
  <si>
    <t>Storage leakage</t>
  </si>
  <si>
    <t>Self-discharge or leakage of supercap/battery/storage path</t>
  </si>
  <si>
    <t>Other load during charge</t>
  </si>
  <si>
    <t>Load powered while charging</t>
  </si>
  <si>
    <t>Safety margin on energy</t>
  </si>
  <si>
    <t>Extra energy margin before declaring storage charged</t>
  </si>
  <si>
    <t>Desired charge time</t>
  </si>
  <si>
    <t>h</t>
  </si>
  <si>
    <t>Used to estimate required MFC count</t>
  </si>
  <si>
    <t>Maximum current draw</t>
  </si>
  <si>
    <t>Max voltage (input)</t>
  </si>
  <si>
    <t>Min voltage (output)</t>
  </si>
  <si>
    <t>Vbatt max</t>
  </si>
  <si>
    <t>Results</t>
  </si>
  <si>
    <t>Gross harvested power to storage</t>
  </si>
  <si>
    <t>Array MPP power × efficiency × availability × derating</t>
  </si>
  <si>
    <t>Total parasitic/load losses</t>
  </si>
  <si>
    <t>Quiescent + leakage + active load</t>
  </si>
  <si>
    <t>Net charging power</t>
  </si>
  <si>
    <t>Power actually increasing stored energy</t>
  </si>
  <si>
    <t>Adjusted energy to add</t>
  </si>
  <si>
    <t>Energy to add including safety margin</t>
  </si>
  <si>
    <t>Charge time</t>
  </si>
  <si>
    <t>Main result</t>
  </si>
  <si>
    <t>days</t>
  </si>
  <si>
    <t>Main result in days</t>
  </si>
  <si>
    <t>Energy added per day</t>
  </si>
  <si>
    <t>J/day</t>
  </si>
  <si>
    <t>Net daily charging energy</t>
  </si>
  <si>
    <t>Feasible within desired time?</t>
  </si>
  <si>
    <t>Uses desired charge time input</t>
  </si>
  <si>
    <t>Required net charging power</t>
  </si>
  <si>
    <t>Net power needed to hit desired charge time</t>
  </si>
  <si>
    <t>Required array MFC power</t>
  </si>
  <si>
    <t>Before harvester/losses</t>
  </si>
  <si>
    <t>Required MFC count</t>
  </si>
  <si>
    <t>Assumes same power per MFC and same derating</t>
  </si>
  <si>
    <t>Minimum parallel strings for current series count</t>
  </si>
  <si>
    <t>strings</t>
  </si>
  <si>
    <t>Useful if you keep the same series voltage</t>
  </si>
  <si>
    <t>Assumptions and Formula Notes</t>
  </si>
  <si>
    <t>Topic</t>
  </si>
  <si>
    <t>What the workbook assumes</t>
  </si>
  <si>
    <t>Why it matters</t>
  </si>
  <si>
    <t>Formula / note</t>
  </si>
  <si>
    <t>Power scaling</t>
  </si>
  <si>
    <t>Identical MFCs operated near their MPP.</t>
  </si>
  <si>
    <t>Series/parallel changes voltage/current; total power scales with configured cell count.</t>
  </si>
  <si>
    <t>P_array ≈ N_series × N_parallel × P_MFC</t>
  </si>
  <si>
    <t>Series connection</t>
  </si>
  <si>
    <t>MFCs in a series string have similar current capability.</t>
  </si>
  <si>
    <t>A weak MFC can limit the string current.</t>
  </si>
  <si>
    <t>Use conservative derating if cells are not well matched.</t>
  </si>
  <si>
    <t>Parallel connection</t>
  </si>
  <si>
    <t>Parallel strings are sufficiently matched or protected.</t>
  </si>
  <si>
    <t>Back-feeding or imbalance can reduce usable power.</t>
  </si>
  <si>
    <t>Consider isolation or individual harvesters for very variable cells.</t>
  </si>
  <si>
    <t>Efficiency is an average end-to-end value.</t>
  </si>
  <si>
    <t>Startup thresholds, MPPT behavior and low-power operation can dominate at µW-mW levels.</t>
  </si>
  <si>
    <t>Net power = gross harvested power − quiescent − leakage − active load.</t>
  </si>
  <si>
    <t>Availability</t>
  </si>
  <si>
    <t>MFC production may not be constant.</t>
  </si>
  <si>
    <t>Bioelectrochemical systems vary with substrate, temperature, hydration and aging.</t>
  </si>
  <si>
    <t>Use availability and environmental derating to avoid optimistic estimates.</t>
  </si>
  <si>
    <t>Storage energy</t>
  </si>
  <si>
    <t>Energy target is expressed in joules.</t>
  </si>
  <si>
    <t>For capacitors, usable energy depends strongly on voltage range.</t>
  </si>
  <si>
    <t>E = 0.5 C (Vmax² − Vmin²).</t>
  </si>
  <si>
    <t>Feasibility</t>
  </si>
  <si>
    <t>If net charging power is zero, charge time is blank and feasibility is NO.</t>
  </si>
  <si>
    <t>Losses can exceed harvested power for small arrays.</t>
  </si>
  <si>
    <t>Increase MFC count, improve harvester efficiency, reduce leakage, or lower target energy.</t>
  </si>
  <si>
    <t>Useful extra inputs</t>
  </si>
  <si>
    <t>Temperature/substrate factor, startup energy, harvester input voltage limits, storage max leakage, load duty cycle.</t>
  </si>
  <si>
    <t>These often dominate real MFC systems.</t>
  </si>
  <si>
    <t>Add them in yellow input cells or scenario rows as your data becomes available.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</si>
</sst>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>
    <font>
      <sz val="11"/>
      <name val="Carlito"/>
    </font>
    <font>
      <b/>
      <sz val="16"/>
      <color rgb="FFFFFFFF"/>
      <name val="Carlito"/>
    </font>
    <font>
      <i/>
      <sz val="11"/>
      <color rgb="FF374151"/>
      <name val="Carlito"/>
    </font>
    <font>
      <b/>
      <sz val="11"/>
      <color rgb="FF0F3D35"/>
      <name val="Carlito"/>
    </font>
    <font>
      <b/>
      <sz val="11"/>
      <name val="Carlito"/>
    </font>
    <font>
      <b/>
      <sz val="11"/>
      <color rgb="FFFFFFFF"/>
      <name val="Carlito"/>
    </font>
    <font>
      <sz val="11"/>
      <name val="Carlito"/>
    </font>
    <font>
      <b/>
      <sz val="11"/>
      <color rgb="FF00000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D9EDE9"/>
      </patternFill>
    </fill>
    <fill>
      <patternFill patternType="solid">
        <fgColor rgb="FFFEF3C7"/>
      </patternFill>
    </fill>
    <fill>
      <patternFill patternType="solid">
        <fgColor rgb="FFE0F2F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7">
    <xf numFmtId="0" fontId="0" fillId="0" borderId="0" xfId="0"/>
    <xf numFmtId="0" fontId="2" fillId="0" borderId="0" xfId="1" applyFont="1"/>
    <xf numFmtId="0" fontId="3" fillId="3" borderId="0" xfId="1" applyFont="1" applyFill="1" applyAlignment="1">
      <alignment horizontal="left" vertical="center" wrapText="1"/>
    </xf>
    <xf numFmtId="0" fontId="0" fillId="0" borderId="0" xfId="1" applyFont="1" applyAlignment="1">
      <alignment wrapText="1"/>
    </xf>
    <xf numFmtId="0" fontId="4" fillId="0" borderId="0" xfId="1" applyFont="1" applyAlignment="1">
      <alignment wrapText="1"/>
    </xf>
    <xf numFmtId="0" fontId="0" fillId="5" borderId="0" xfId="1" applyFont="1" applyFill="1" applyAlignment="1">
      <alignment wrapText="1"/>
    </xf>
    <xf numFmtId="164" fontId="0" fillId="4" borderId="0" xfId="1" applyNumberFormat="1" applyFont="1" applyFill="1" applyAlignment="1">
      <alignment wrapText="1"/>
    </xf>
    <xf numFmtId="164" fontId="0" fillId="5" borderId="0" xfId="1" applyNumberFormat="1" applyFont="1" applyFill="1" applyAlignment="1">
      <alignment wrapText="1"/>
    </xf>
    <xf numFmtId="9" fontId="0" fillId="4" borderId="0" xfId="1" applyNumberFormat="1" applyFont="1" applyFill="1" applyAlignment="1">
      <alignment wrapText="1"/>
    </xf>
    <xf numFmtId="1" fontId="0" fillId="4" borderId="0" xfId="1" applyNumberFormat="1" applyFont="1" applyFill="1" applyAlignment="1">
      <alignment wrapText="1"/>
    </xf>
    <xf numFmtId="1" fontId="0" fillId="5" borderId="0" xfId="1" applyNumberFormat="1" applyFont="1" applyFill="1" applyAlignment="1">
      <alignment wrapText="1"/>
    </xf>
    <xf numFmtId="2" fontId="0" fillId="5" borderId="0" xfId="1" applyNumberFormat="1" applyFont="1" applyFill="1" applyAlignment="1">
      <alignment wrapText="1"/>
    </xf>
    <xf numFmtId="0" fontId="5" fillId="2" borderId="0" xfId="1" applyFont="1" applyFill="1" applyAlignment="1">
      <alignment horizontal="center" vertical="center" wrapText="1"/>
    </xf>
    <xf numFmtId="0" fontId="7" fillId="0" borderId="0" xfId="1" applyFont="1" applyAlignment="1">
      <alignment wrapText="1"/>
    </xf>
    <xf numFmtId="0" fontId="1" fillId="2" borderId="0" xfId="1" applyFont="1" applyFill="1" applyAlignment="1">
      <alignment horizontal="center" vertical="center"/>
    </xf>
    <xf numFmtId="0" fontId="1" fillId="2" borderId="0" xfId="1" applyFont="1" applyFill="1" applyAlignment="1">
      <alignment horizontal="left" vertical="center"/>
    </xf>
    <xf numFmtId="0" fontId="0" fillId="0" borderId="0" xfId="0" applyAlignment="1"/>
  </cellXfs>
  <cellStyles count="2">
    <cellStyle name="Normal" xfId="1" xr:uid="{00000000-0005-0000-0000-000000000000}"/>
    <cellStyle name="Standaard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"/>
  <sheetViews>
    <sheetView tabSelected="1" zoomScaleNormal="100" zoomScaleSheetLayoutView="100" workbookViewId="0">
      <selection activeCell="B40" sqref="B40"/>
    </sheetView>
  </sheetViews>
  <sheetFormatPr defaultRowHeight="15"/>
  <cols>
    <col min="1" max="1" width="34" customWidth="1"/>
    <col min="2" max="2" width="16" customWidth="1"/>
    <col min="3" max="3" width="10.25" customWidth="1"/>
    <col min="4" max="4" width="52.25" customWidth="1"/>
    <col min="5" max="5" width="2" customWidth="1"/>
    <col min="6" max="6" width="13.375" bestFit="1" customWidth="1"/>
  </cols>
  <sheetData>
    <row r="1" spans="1:6" ht="27.95" customHeight="1">
      <c r="A1" s="14" t="s">
        <v>0</v>
      </c>
      <c r="B1" s="14"/>
      <c r="C1" s="14"/>
      <c r="D1" s="14"/>
      <c r="E1" s="14"/>
      <c r="F1" s="14"/>
    </row>
    <row r="2" spans="1:6" ht="14.25">
      <c r="A2" s="1" t="s">
        <v>1</v>
      </c>
      <c r="B2" s="1"/>
      <c r="C2" s="1"/>
      <c r="D2" s="1"/>
      <c r="E2" s="1"/>
      <c r="F2" t="s">
        <v>2</v>
      </c>
    </row>
    <row r="4" spans="1:6">
      <c r="A4" s="2" t="s">
        <v>3</v>
      </c>
      <c r="B4" s="2"/>
      <c r="C4" s="2"/>
      <c r="D4" s="2"/>
      <c r="E4" s="2"/>
    </row>
    <row r="5" spans="1:6" ht="16.5">
      <c r="A5" s="4" t="s">
        <v>4</v>
      </c>
      <c r="B5" s="6">
        <v>150</v>
      </c>
      <c r="C5" s="3" t="s">
        <v>5</v>
      </c>
      <c r="D5" s="4" t="s">
        <v>6</v>
      </c>
      <c r="E5" s="3"/>
      <c r="F5" t="s">
        <v>7</v>
      </c>
    </row>
    <row r="6" spans="1:6">
      <c r="A6" s="4" t="s">
        <v>8</v>
      </c>
      <c r="B6" s="6">
        <v>0</v>
      </c>
      <c r="C6" s="3" t="s">
        <v>5</v>
      </c>
      <c r="D6" s="3" t="s">
        <v>9</v>
      </c>
      <c r="E6" s="3"/>
    </row>
    <row r="7" spans="1:6" ht="16.5">
      <c r="A7" s="4" t="s">
        <v>10</v>
      </c>
      <c r="B7" s="8">
        <v>1</v>
      </c>
      <c r="C7" s="3" t="s">
        <v>11</v>
      </c>
      <c r="D7" s="3" t="s">
        <v>12</v>
      </c>
      <c r="E7" s="3"/>
    </row>
    <row r="8" spans="1:6">
      <c r="A8" s="4" t="s">
        <v>13</v>
      </c>
      <c r="B8" s="7">
        <f>MAX(0,(B5-B6)/B7)</f>
        <v>150</v>
      </c>
      <c r="C8" s="3" t="s">
        <v>5</v>
      </c>
      <c r="D8" s="3" t="s">
        <v>14</v>
      </c>
      <c r="E8" s="3"/>
    </row>
    <row r="9" spans="1:6" ht="16.5">
      <c r="A9" s="4" t="s">
        <v>15</v>
      </c>
      <c r="B9" s="6">
        <v>4.2</v>
      </c>
      <c r="C9" s="3" t="s">
        <v>16</v>
      </c>
      <c r="D9" s="13" t="s">
        <v>17</v>
      </c>
      <c r="E9" s="3"/>
      <c r="F9" t="s">
        <v>18</v>
      </c>
    </row>
    <row r="10" spans="1:6" ht="16.5">
      <c r="A10" s="4" t="s">
        <v>19</v>
      </c>
      <c r="B10" s="6">
        <v>2.2000000000000002</v>
      </c>
      <c r="C10" s="3" t="s">
        <v>16</v>
      </c>
      <c r="D10" s="4" t="s">
        <v>20</v>
      </c>
      <c r="E10" s="3"/>
      <c r="F10" t="s">
        <v>18</v>
      </c>
    </row>
    <row r="11" spans="1:6" ht="16.5">
      <c r="A11" s="4" t="s">
        <v>21</v>
      </c>
      <c r="B11" s="6">
        <v>3</v>
      </c>
      <c r="C11" s="3" t="s">
        <v>16</v>
      </c>
      <c r="D11" s="4" t="s">
        <v>22</v>
      </c>
      <c r="E11" s="3"/>
      <c r="F11" t="s">
        <v>7</v>
      </c>
    </row>
    <row r="12" spans="1:6" ht="16.5">
      <c r="A12" s="4" t="s">
        <v>23</v>
      </c>
      <c r="B12" s="6">
        <v>5</v>
      </c>
      <c r="C12" s="3" t="s">
        <v>16</v>
      </c>
      <c r="D12" s="4" t="s">
        <v>24</v>
      </c>
      <c r="E12" s="3"/>
      <c r="F12" t="s">
        <v>7</v>
      </c>
    </row>
    <row r="13" spans="1:6" ht="16.5">
      <c r="A13" s="4" t="s">
        <v>25</v>
      </c>
      <c r="B13" s="7">
        <f>MIN(B12,B9)</f>
        <v>4.2</v>
      </c>
      <c r="C13" s="3"/>
      <c r="D13" s="3"/>
      <c r="E13" s="3"/>
    </row>
    <row r="14" spans="1:6" ht="16.5">
      <c r="A14" s="4" t="s">
        <v>26</v>
      </c>
      <c r="B14" s="7">
        <f>MAX(B11,B10)</f>
        <v>3</v>
      </c>
      <c r="C14" s="3"/>
      <c r="D14" s="3"/>
      <c r="E14" s="3"/>
    </row>
    <row r="15" spans="1:6" ht="16.5">
      <c r="A15" s="4" t="s">
        <v>27</v>
      </c>
      <c r="B15" s="7">
        <f>IF(AND(ISNUMBER(B14),ISNUMBER(B13),B13&gt;B14),2*B8/(B13^2-B14^2),"")</f>
        <v>34.722222222222221</v>
      </c>
      <c r="C15" s="3" t="s">
        <v>28</v>
      </c>
      <c r="D15" s="3" t="s">
        <v>29</v>
      </c>
      <c r="E15" s="3"/>
    </row>
    <row r="16" spans="1:6">
      <c r="A16" s="4"/>
      <c r="B16" s="3"/>
      <c r="C16" s="3"/>
      <c r="D16" s="3"/>
      <c r="E16" s="3"/>
    </row>
    <row r="17" spans="1:6">
      <c r="A17" s="2" t="s">
        <v>30</v>
      </c>
      <c r="B17" s="2"/>
      <c r="C17" s="2"/>
      <c r="D17" s="2"/>
      <c r="E17" s="2"/>
    </row>
    <row r="18" spans="1:6" ht="16.5">
      <c r="A18" s="4" t="s">
        <v>31</v>
      </c>
      <c r="B18" s="6">
        <v>0.05</v>
      </c>
      <c r="C18" s="3" t="s">
        <v>32</v>
      </c>
      <c r="D18" s="4" t="s">
        <v>33</v>
      </c>
      <c r="E18" s="3"/>
      <c r="F18" t="s">
        <v>34</v>
      </c>
    </row>
    <row r="19" spans="1:6" ht="33">
      <c r="A19" s="4" t="s">
        <v>35</v>
      </c>
      <c r="B19" s="6">
        <v>0.5</v>
      </c>
      <c r="C19" s="3" t="s">
        <v>16</v>
      </c>
      <c r="D19" s="4" t="s">
        <v>36</v>
      </c>
      <c r="E19" s="3"/>
      <c r="F19" t="s">
        <v>34</v>
      </c>
    </row>
    <row r="20" spans="1:6" ht="16.5">
      <c r="A20" s="4" t="s">
        <v>37</v>
      </c>
      <c r="B20" s="9">
        <v>30</v>
      </c>
      <c r="C20" s="3" t="s">
        <v>38</v>
      </c>
      <c r="D20" s="4" t="s">
        <v>39</v>
      </c>
      <c r="E20" s="3"/>
    </row>
    <row r="21" spans="1:6" ht="16.5">
      <c r="A21" s="4" t="s">
        <v>40</v>
      </c>
      <c r="B21" s="9">
        <v>6</v>
      </c>
      <c r="C21" s="3" t="s">
        <v>38</v>
      </c>
      <c r="D21" s="4" t="s">
        <v>41</v>
      </c>
      <c r="E21" s="3"/>
    </row>
    <row r="22" spans="1:6" ht="16.5">
      <c r="A22" s="4" t="s">
        <v>42</v>
      </c>
      <c r="B22" s="9">
        <v>5</v>
      </c>
      <c r="C22" s="3" t="s">
        <v>38</v>
      </c>
      <c r="D22" s="4" t="s">
        <v>43</v>
      </c>
      <c r="E22" s="3"/>
    </row>
    <row r="23" spans="1:6" ht="16.5">
      <c r="A23" s="4" t="s">
        <v>44</v>
      </c>
      <c r="B23" s="10">
        <f>B21*B22</f>
        <v>30</v>
      </c>
      <c r="C23" s="3" t="s">
        <v>38</v>
      </c>
      <c r="D23" s="3" t="s">
        <v>45</v>
      </c>
      <c r="E23" s="3"/>
    </row>
    <row r="24" spans="1:6">
      <c r="A24" s="4" t="s">
        <v>46</v>
      </c>
      <c r="B24" s="5" t="str">
        <f>IF(B20=B23,"OK","Mismatch: declared total differs from series × parallel")</f>
        <v>OK</v>
      </c>
      <c r="C24" s="3"/>
      <c r="D24" s="3" t="s">
        <v>47</v>
      </c>
      <c r="E24" s="3"/>
    </row>
    <row r="25" spans="1:6" ht="16.5">
      <c r="A25" s="4" t="s">
        <v>48</v>
      </c>
      <c r="B25" s="7">
        <f>B21*B19</f>
        <v>3</v>
      </c>
      <c r="C25" s="3" t="s">
        <v>16</v>
      </c>
      <c r="D25" s="3" t="s">
        <v>49</v>
      </c>
      <c r="E25" s="3"/>
    </row>
    <row r="26" spans="1:6">
      <c r="A26" s="4" t="s">
        <v>50</v>
      </c>
      <c r="B26" s="7">
        <f>IF(B19&gt;0,B18/B19,"")</f>
        <v>0.1</v>
      </c>
      <c r="C26" s="3" t="s">
        <v>51</v>
      </c>
      <c r="D26" s="3" t="s">
        <v>52</v>
      </c>
      <c r="E26" s="3"/>
    </row>
    <row r="27" spans="1:6">
      <c r="A27" s="4" t="s">
        <v>53</v>
      </c>
      <c r="B27" s="7">
        <f>IF(ISNUMBER(B26),B22*B26,"")</f>
        <v>0.5</v>
      </c>
      <c r="C27" s="3" t="s">
        <v>51</v>
      </c>
      <c r="D27" s="3" t="s">
        <v>54</v>
      </c>
      <c r="E27" s="3"/>
    </row>
    <row r="28" spans="1:6">
      <c r="A28" s="4" t="s">
        <v>55</v>
      </c>
      <c r="B28" s="7">
        <f>B23*B18</f>
        <v>1.5</v>
      </c>
      <c r="C28" s="3" t="s">
        <v>32</v>
      </c>
      <c r="D28" s="3" t="s">
        <v>56</v>
      </c>
      <c r="E28" s="3"/>
    </row>
    <row r="29" spans="1:6" ht="16.5">
      <c r="A29" s="4" t="s">
        <v>53</v>
      </c>
      <c r="B29" s="7">
        <f>B28/B19</f>
        <v>3</v>
      </c>
      <c r="C29" s="3" t="s">
        <v>51</v>
      </c>
      <c r="D29" s="3" t="s">
        <v>57</v>
      </c>
      <c r="E29" s="3"/>
    </row>
    <row r="30" spans="1:6">
      <c r="A30" s="4"/>
      <c r="B30" s="3"/>
      <c r="C30" s="3"/>
      <c r="D30" s="3"/>
      <c r="E30" s="3"/>
    </row>
    <row r="31" spans="1:6">
      <c r="A31" s="2" t="s">
        <v>58</v>
      </c>
      <c r="B31" s="2"/>
      <c r="C31" s="2"/>
      <c r="D31" s="2"/>
      <c r="E31" s="2"/>
    </row>
    <row r="32" spans="1:6">
      <c r="A32" s="4" t="s">
        <v>59</v>
      </c>
      <c r="B32" s="8">
        <v>0.7</v>
      </c>
      <c r="C32" s="3" t="s">
        <v>60</v>
      </c>
      <c r="D32" s="3" t="s">
        <v>61</v>
      </c>
      <c r="E32" s="3"/>
      <c r="F32" t="s">
        <v>62</v>
      </c>
    </row>
    <row r="33" spans="1:6">
      <c r="A33" s="4" t="s">
        <v>63</v>
      </c>
      <c r="B33" s="8">
        <v>1</v>
      </c>
      <c r="C33" s="3" t="s">
        <v>60</v>
      </c>
      <c r="D33" s="3" t="s">
        <v>64</v>
      </c>
      <c r="E33" s="3"/>
    </row>
    <row r="34" spans="1:6">
      <c r="A34" s="4" t="s">
        <v>65</v>
      </c>
      <c r="B34" s="8">
        <v>1</v>
      </c>
      <c r="C34" s="3" t="s">
        <v>60</v>
      </c>
      <c r="D34" s="3" t="s">
        <v>66</v>
      </c>
      <c r="E34" s="3"/>
    </row>
    <row r="35" spans="1:6">
      <c r="A35" s="4" t="s">
        <v>67</v>
      </c>
      <c r="B35" s="6">
        <v>5.0000000000000001E-3</v>
      </c>
      <c r="C35" s="3" t="s">
        <v>32</v>
      </c>
      <c r="D35" s="3" t="s">
        <v>68</v>
      </c>
      <c r="E35" s="3"/>
    </row>
    <row r="36" spans="1:6">
      <c r="A36" s="4" t="s">
        <v>69</v>
      </c>
      <c r="B36" s="6">
        <f>0.005*B9</f>
        <v>2.1000000000000001E-2</v>
      </c>
      <c r="C36" s="3" t="s">
        <v>32</v>
      </c>
      <c r="D36" s="3" t="s">
        <v>70</v>
      </c>
      <c r="E36" s="3"/>
    </row>
    <row r="37" spans="1:6" ht="16.5">
      <c r="A37" s="4" t="s">
        <v>71</v>
      </c>
      <c r="B37" s="6">
        <v>0</v>
      </c>
      <c r="C37" s="3" t="s">
        <v>32</v>
      </c>
      <c r="D37" s="3" t="s">
        <v>72</v>
      </c>
      <c r="E37" s="3"/>
    </row>
    <row r="38" spans="1:6">
      <c r="A38" s="4" t="s">
        <v>73</v>
      </c>
      <c r="B38" s="8">
        <v>0.1</v>
      </c>
      <c r="C38" s="3" t="s">
        <v>60</v>
      </c>
      <c r="D38" s="3" t="s">
        <v>74</v>
      </c>
      <c r="E38" s="3"/>
    </row>
    <row r="39" spans="1:6" ht="16.5">
      <c r="A39" s="4" t="s">
        <v>75</v>
      </c>
      <c r="B39" s="6">
        <v>48</v>
      </c>
      <c r="C39" s="3" t="s">
        <v>76</v>
      </c>
      <c r="D39" s="4" t="s">
        <v>77</v>
      </c>
      <c r="E39" s="3"/>
    </row>
    <row r="40" spans="1:6" ht="16.5">
      <c r="A40" s="4" t="s">
        <v>78</v>
      </c>
      <c r="B40" s="6">
        <v>110</v>
      </c>
      <c r="C40" s="3" t="s">
        <v>51</v>
      </c>
      <c r="D40" s="7" t="str">
        <f>IF(B29&lt;B40,"OK","Mismatch: too much current")</f>
        <v>OK</v>
      </c>
      <c r="E40" s="3"/>
    </row>
    <row r="41" spans="1:6" ht="16.5">
      <c r="A41" s="4" t="s">
        <v>79</v>
      </c>
      <c r="B41" s="6">
        <v>4.5</v>
      </c>
      <c r="C41" s="3" t="s">
        <v>16</v>
      </c>
      <c r="D41" s="7" t="str">
        <f>IF(B25&lt;B41,"OK","Mismatch: MFC V too high")</f>
        <v>OK</v>
      </c>
      <c r="E41" s="3"/>
      <c r="F41" t="s">
        <v>62</v>
      </c>
    </row>
    <row r="42" spans="1:6" ht="16.5">
      <c r="A42" s="4" t="s">
        <v>80</v>
      </c>
      <c r="B42" s="6">
        <f>50/1000</f>
        <v>0.05</v>
      </c>
      <c r="C42" s="3" t="s">
        <v>16</v>
      </c>
      <c r="D42" s="3"/>
      <c r="E42" s="3"/>
      <c r="F42" t="s">
        <v>62</v>
      </c>
    </row>
    <row r="43" spans="1:6" ht="16.5">
      <c r="A43" s="4" t="s">
        <v>81</v>
      </c>
      <c r="B43" s="3">
        <v>4.5</v>
      </c>
      <c r="C43" s="3" t="s">
        <v>16</v>
      </c>
      <c r="D43" s="3"/>
      <c r="E43" s="3"/>
    </row>
    <row r="44" spans="1:6">
      <c r="A44" s="2" t="s">
        <v>82</v>
      </c>
      <c r="B44" s="2"/>
      <c r="C44" s="2"/>
      <c r="D44" s="2"/>
      <c r="E44" s="2"/>
    </row>
    <row r="45" spans="1:6">
      <c r="A45" s="4" t="s">
        <v>83</v>
      </c>
      <c r="B45" s="7">
        <f>B28*B32*B33*B34</f>
        <v>1.0499999999999998</v>
      </c>
      <c r="C45" s="3" t="s">
        <v>32</v>
      </c>
      <c r="D45" s="3" t="s">
        <v>84</v>
      </c>
      <c r="E45" s="3"/>
    </row>
    <row r="46" spans="1:6">
      <c r="A46" s="4" t="s">
        <v>85</v>
      </c>
      <c r="B46" s="7">
        <f>SUM(B35:B37)</f>
        <v>2.6000000000000002E-2</v>
      </c>
      <c r="C46" s="3" t="s">
        <v>32</v>
      </c>
      <c r="D46" s="3" t="s">
        <v>86</v>
      </c>
      <c r="E46" s="3"/>
    </row>
    <row r="47" spans="1:6">
      <c r="A47" s="4" t="s">
        <v>87</v>
      </c>
      <c r="B47" s="7">
        <f>MAX(0,B45-B46)</f>
        <v>1.0239999999999998</v>
      </c>
      <c r="C47" s="3" t="s">
        <v>32</v>
      </c>
      <c r="D47" s="3" t="s">
        <v>88</v>
      </c>
      <c r="E47" s="3"/>
    </row>
    <row r="48" spans="1:6">
      <c r="A48" s="4" t="s">
        <v>89</v>
      </c>
      <c r="B48" s="7">
        <f>B8*(1+B38)</f>
        <v>165</v>
      </c>
      <c r="C48" s="3" t="s">
        <v>5</v>
      </c>
      <c r="D48" s="3" t="s">
        <v>90</v>
      </c>
      <c r="E48" s="3"/>
    </row>
    <row r="49" spans="1:5">
      <c r="A49" s="4" t="s">
        <v>91</v>
      </c>
      <c r="B49" s="11">
        <f>IF(B47&gt;0,B48/(B47/1000)/3600,"")</f>
        <v>44.759114583333343</v>
      </c>
      <c r="C49" s="3" t="s">
        <v>76</v>
      </c>
      <c r="D49" s="3" t="s">
        <v>92</v>
      </c>
      <c r="E49" s="3"/>
    </row>
    <row r="50" spans="1:5">
      <c r="A50" s="4" t="s">
        <v>91</v>
      </c>
      <c r="B50" s="11">
        <f>IF(ISNUMBER(B49),B49/24,"")</f>
        <v>1.8649631076388893</v>
      </c>
      <c r="C50" s="3" t="s">
        <v>93</v>
      </c>
      <c r="D50" s="3" t="s">
        <v>94</v>
      </c>
      <c r="E50" s="3"/>
    </row>
    <row r="51" spans="1:5">
      <c r="A51" s="4" t="s">
        <v>95</v>
      </c>
      <c r="B51" s="7">
        <f>B47/1000*86400</f>
        <v>88.473599999999976</v>
      </c>
      <c r="C51" s="3" t="s">
        <v>96</v>
      </c>
      <c r="D51" s="3" t="s">
        <v>97</v>
      </c>
      <c r="E51" s="3"/>
    </row>
    <row r="52" spans="1:5">
      <c r="A52" s="4" t="s">
        <v>98</v>
      </c>
      <c r="B52" s="5" t="str">
        <f>IF(AND(ISNUMBER(B49),B49&lt;=B39),"YES","NO")</f>
        <v>YES</v>
      </c>
      <c r="C52" s="3"/>
      <c r="D52" s="3" t="s">
        <v>99</v>
      </c>
      <c r="E52" s="3"/>
    </row>
    <row r="53" spans="1:5">
      <c r="A53" s="4" t="s">
        <v>100</v>
      </c>
      <c r="B53" s="7">
        <f>IF(B39&gt;0,B48/(B39*3600)*1000,"")</f>
        <v>0.95486111111111105</v>
      </c>
      <c r="C53" s="3" t="s">
        <v>32</v>
      </c>
      <c r="D53" s="3" t="s">
        <v>101</v>
      </c>
      <c r="E53" s="3"/>
    </row>
    <row r="54" spans="1:5">
      <c r="A54" s="4" t="s">
        <v>102</v>
      </c>
      <c r="B54" s="7">
        <f>IF(B32*B33*B34&gt;0,(B53+B46)/(B32*B33*B34),"")</f>
        <v>1.4012301587301588</v>
      </c>
      <c r="C54" s="3" t="s">
        <v>32</v>
      </c>
      <c r="D54" s="3" t="s">
        <v>103</v>
      </c>
      <c r="E54" s="3"/>
    </row>
    <row r="55" spans="1:5">
      <c r="A55" s="4" t="s">
        <v>104</v>
      </c>
      <c r="B55" s="10">
        <f>IF(AND(B18&gt;0,ISNUMBER(B54)),CEILING(B54/B18,1),"")</f>
        <v>29</v>
      </c>
      <c r="C55" s="3" t="s">
        <v>38</v>
      </c>
      <c r="D55" s="3" t="s">
        <v>105</v>
      </c>
      <c r="E55" s="3"/>
    </row>
    <row r="56" spans="1:5">
      <c r="A56" s="4" t="s">
        <v>106</v>
      </c>
      <c r="B56" s="10">
        <f>IF(AND(B21&gt;0,ISNUMBER(B55)),CEILING(B55/B21,1),"")</f>
        <v>5</v>
      </c>
      <c r="C56" s="3" t="s">
        <v>107</v>
      </c>
      <c r="D56" s="3" t="s">
        <v>108</v>
      </c>
      <c r="E56" s="3"/>
    </row>
  </sheetData>
  <mergeCells count="1">
    <mergeCell ref="A1:F1"/>
  </mergeCells>
  <conditionalFormatting sqref="B52">
    <cfRule type="containsText" dxfId="1" priority="2" operator="containsText" text="NO">
      <formula>NOT(ISERROR(SEARCH("NO",B52)))</formula>
    </cfRule>
  </conditionalFormatting>
  <conditionalFormatting sqref="B52">
    <cfRule type="containsText" dxfId="0" priority="1" operator="containsText" text="YES">
      <formula>NOT(ISERROR(SEARCH("YES",B52)))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zoomScaleNormal="100" zoomScaleSheetLayoutView="100" workbookViewId="0">
      <selection activeCell="B7" sqref="B7"/>
    </sheetView>
  </sheetViews>
  <sheetFormatPr defaultRowHeight="15"/>
  <cols>
    <col min="1" max="1" width="22" customWidth="1"/>
    <col min="2" max="4" width="42" customWidth="1"/>
  </cols>
  <sheetData>
    <row r="1" spans="1:4">
      <c r="A1" s="15" t="s">
        <v>109</v>
      </c>
      <c r="B1" s="16"/>
      <c r="C1" s="16"/>
      <c r="D1" s="16"/>
    </row>
    <row r="3" spans="1:4">
      <c r="A3" s="12" t="s">
        <v>110</v>
      </c>
      <c r="B3" s="12" t="s">
        <v>111</v>
      </c>
      <c r="C3" s="12" t="s">
        <v>112</v>
      </c>
      <c r="D3" s="12" t="s">
        <v>113</v>
      </c>
    </row>
    <row r="4" spans="1:4">
      <c r="A4" s="4" t="s">
        <v>114</v>
      </c>
      <c r="B4" s="3" t="s">
        <v>115</v>
      </c>
      <c r="C4" s="3" t="s">
        <v>116</v>
      </c>
      <c r="D4" s="3" t="s">
        <v>117</v>
      </c>
    </row>
    <row r="5" spans="1:4">
      <c r="A5" s="4" t="s">
        <v>118</v>
      </c>
      <c r="B5" s="3" t="s">
        <v>119</v>
      </c>
      <c r="C5" s="3" t="s">
        <v>120</v>
      </c>
      <c r="D5" s="3" t="s">
        <v>121</v>
      </c>
    </row>
    <row r="6" spans="1:4">
      <c r="A6" s="4" t="s">
        <v>122</v>
      </c>
      <c r="B6" s="3" t="s">
        <v>123</v>
      </c>
      <c r="C6" s="3" t="s">
        <v>124</v>
      </c>
      <c r="D6" s="3" t="s">
        <v>125</v>
      </c>
    </row>
    <row r="7" spans="1:4">
      <c r="A7" s="4" t="s">
        <v>62</v>
      </c>
      <c r="B7" s="3" t="s">
        <v>126</v>
      </c>
      <c r="C7" s="3" t="s">
        <v>127</v>
      </c>
      <c r="D7" s="3" t="s">
        <v>128</v>
      </c>
    </row>
    <row r="8" spans="1:4">
      <c r="A8" s="4" t="s">
        <v>129</v>
      </c>
      <c r="B8" s="3" t="s">
        <v>130</v>
      </c>
      <c r="C8" s="3" t="s">
        <v>131</v>
      </c>
      <c r="D8" s="3" t="s">
        <v>132</v>
      </c>
    </row>
    <row r="9" spans="1:4">
      <c r="A9" s="4" t="s">
        <v>133</v>
      </c>
      <c r="B9" s="3" t="s">
        <v>134</v>
      </c>
      <c r="C9" s="3" t="s">
        <v>135</v>
      </c>
      <c r="D9" s="3" t="s">
        <v>136</v>
      </c>
    </row>
    <row r="10" spans="1:4">
      <c r="A10" s="4" t="s">
        <v>137</v>
      </c>
      <c r="B10" s="3" t="s">
        <v>138</v>
      </c>
      <c r="C10" s="3" t="s">
        <v>139</v>
      </c>
      <c r="D10" s="3" t="s">
        <v>140</v>
      </c>
    </row>
    <row r="11" spans="1:4">
      <c r="A11" s="4" t="s">
        <v>141</v>
      </c>
      <c r="B11" s="3" t="s">
        <v>142</v>
      </c>
      <c r="C11" s="3" t="s">
        <v>143</v>
      </c>
      <c r="D11" s="3" t="s">
        <v>144</v>
      </c>
    </row>
  </sheetData>
  <mergeCells count="1">
    <mergeCell ref="A1:D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966ec43-0ce2-440d-85cb-d7baa1361af9" xsi:nil="true"/>
    <lcf76f155ced4ddcb4097134ff3c332f xmlns="c632d63d-d94d-44a4-8cd4-d414f261ccd2">
      <Terms xmlns="http://schemas.microsoft.com/office/infopath/2007/PartnerControls"/>
    </lcf76f155ced4ddcb4097134ff3c332f>
    <Topics xmlns="c632d63d-d94d-44a4-8cd4-d414f261ccd2" xsi:nil="true"/>
    <GillesCallebaut xmlns="c632d63d-d94d-44a4-8cd4-d414f261ccd2">
      <UserInfo>
        <DisplayName/>
        <AccountId xsi:nil="true"/>
        <AccountType/>
      </UserInfo>
    </GillesCallebaut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36E510B83AE14BB768286DDA3060C8" ma:contentTypeVersion="22" ma:contentTypeDescription="Een nieuw document maken." ma:contentTypeScope="" ma:versionID="c92b9d1c7c36565f84761371eb12f843">
  <xsd:schema xmlns:xsd="http://www.w3.org/2001/XMLSchema" xmlns:xs="http://www.w3.org/2001/XMLSchema" xmlns:p="http://schemas.microsoft.com/office/2006/metadata/properties" xmlns:ns2="c632d63d-d94d-44a4-8cd4-d414f261ccd2" xmlns:ns3="a966ec43-0ce2-440d-85cb-d7baa1361af9" targetNamespace="http://schemas.microsoft.com/office/2006/metadata/properties" ma:root="true" ma:fieldsID="17a625347851cc0d215732d63dbc1b0a" ns2:_="" ns3:_="">
    <xsd:import namespace="c632d63d-d94d-44a4-8cd4-d414f261ccd2"/>
    <xsd:import namespace="a966ec43-0ce2-440d-85cb-d7baa1361a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GillesCallebaut" minOccurs="0"/>
                <xsd:element ref="ns2:Topic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2d63d-d94d-44a4-8cd4-d414f261c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Afbeeldingtags" ma:readOnly="false" ma:fieldId="{5cf76f15-5ced-4ddc-b409-7134ff3c332f}" ma:taxonomyMulti="true" ma:sspId="8b6fc0cd-01fe-45a4-a6f7-42bcc5426b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GillesCallebaut" ma:index="24" nillable="true" ma:displayName="Made By" ma:format="Dropdown" ma:list="UserInfo" ma:SharePointGroup="0" ma:internalName="GillesCallebaut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Topics" ma:index="25" nillable="true" ma:displayName="Topics" ma:format="Dropdown" ma:internalName="Topics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IoT"/>
                        <xsd:enumeration value="5G and beyond"/>
                        <xsd:enumeration value="Sustainability"/>
                        <xsd:enumeration value="WPT"/>
                        <xsd:enumeration value="Reindeer"/>
                        <xsd:enumeration value="6GTandem"/>
                        <xsd:enumeration value="Dramco"/>
                        <xsd:enumeration value="Presentation"/>
                        <xsd:enumeration value="Techtile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66ec43-0ce2-440d-85cb-d7baa1361af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d383904-99ab-4cb7-8cdb-b1ca560cad21}" ma:internalName="TaxCatchAll" ma:showField="CatchAllData" ma:web="a966ec43-0ce2-440d-85cb-d7baa1361a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428C99-9248-4711-9B35-287D1809434A}"/>
</file>

<file path=customXml/itemProps2.xml><?xml version="1.0" encoding="utf-8"?>
<ds:datastoreItem xmlns:ds="http://schemas.openxmlformats.org/officeDocument/2006/customXml" ds:itemID="{F1C973B8-21EB-438C-9609-B15A01F42734}"/>
</file>

<file path=customXml/itemProps3.xml><?xml version="1.0" encoding="utf-8"?>
<ds:datastoreItem xmlns:ds="http://schemas.openxmlformats.org/officeDocument/2006/customXml" ds:itemID="{94C96945-DC94-40EA-BE54-9573BCEE09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Gilles Callebaut</cp:lastModifiedBy>
  <cp:revision/>
  <dcterms:created xsi:type="dcterms:W3CDTF">2026-07-03T13:31:48Z</dcterms:created>
  <dcterms:modified xsi:type="dcterms:W3CDTF">2026-07-07T20:23:51Z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0x010100F636E510B83AE14BB768286DDA3060C8</vt:lpwstr>
  </property>
  <property fmtid="{D5CDD505-2E9C-101B-9397-08002B2CF9AE}" pid="3" name="MediaServiceImageTags">
    <vt:lpwstr/>
  </property>
</Properties>
</file>